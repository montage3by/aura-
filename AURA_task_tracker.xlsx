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дачи" sheetId="1" state="visible" r:id="rId1"/>
    <sheet xmlns:r="http://schemas.openxmlformats.org/officeDocument/2006/relationships" name="Сводка" sheetId="2" state="visible" r:id="rId2"/>
  </sheets>
  <definedNames>
    <definedName name="_xlnm._FilterDatabase" localSheetId="0" hidden="1">'Задачи'!$A$4:$M$26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FFFFFF"/>
    </font>
    <font>
      <b val="1"/>
      <sz val="13"/>
    </font>
    <font>
      <b val="1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horizontal="center" vertical="top" wrapText="1"/>
    </xf>
    <xf numFmtId="1" fontId="0" fillId="0" borderId="1" applyAlignment="1" pivotButton="0" quotePrefix="0" xfId="0">
      <alignment horizontal="center" vertical="top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dxfs count="5">
    <dxf>
      <font>
        <color rgb="007F7F7F"/>
      </font>
      <fill>
        <patternFill patternType="solid">
          <fgColor rgb="00E2EFDA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ont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32" customWidth="1" min="3" max="3"/>
    <col width="60" customWidth="1" min="4" max="4"/>
    <col width="38" customWidth="1" min="5" max="5"/>
    <col width="18" customWidth="1" min="6" max="6"/>
    <col width="24" customWidth="1" min="7" max="7"/>
    <col width="11" customWidth="1" min="8" max="8"/>
    <col width="12" customWidth="1" min="9" max="9"/>
    <col width="12" customWidth="1" min="10" max="10"/>
    <col width="14" customWidth="1" min="11" max="11"/>
    <col width="11" customWidth="1" min="12" max="12"/>
    <col width="30" customWidth="1" min="13" max="13"/>
  </cols>
  <sheetData>
    <row r="1">
      <c r="A1" s="1" t="inlineStr">
        <is>
          <t>AURA — трекер задач маркетинга и продаж</t>
        </is>
      </c>
    </row>
    <row r="2">
      <c r="A2" s="2" t="inlineStr">
        <is>
          <t>Создан 26.10.2026 по итогам созвона, обновлён 30.10.2026. Обновлять статусы еженедельно.</t>
        </is>
      </c>
    </row>
    <row r="4">
      <c r="A4" s="3" t="inlineStr">
        <is>
          <t>№</t>
        </is>
      </c>
      <c r="B4" s="3" t="inlineStr">
        <is>
          <t>Блок</t>
        </is>
      </c>
      <c r="C4" s="3" t="inlineStr">
        <is>
          <t>Задача</t>
        </is>
      </c>
      <c r="D4" s="3" t="inlineStr">
        <is>
          <t>Что сделать</t>
        </is>
      </c>
      <c r="E4" s="3" t="inlineStr">
        <is>
          <t>Результат (критерий готовности)</t>
        </is>
      </c>
      <c r="F4" s="3" t="inlineStr">
        <is>
          <t>Ответственный</t>
        </is>
      </c>
      <c r="G4" s="3" t="inlineStr">
        <is>
          <t>Кто нужен / зависимость</t>
        </is>
      </c>
      <c r="H4" s="3" t="inlineStr">
        <is>
          <t>Приоритет</t>
        </is>
      </c>
      <c r="I4" s="3" t="inlineStr">
        <is>
          <t>Старт</t>
        </is>
      </c>
      <c r="J4" s="3" t="inlineStr">
        <is>
          <t>Дедлайн</t>
        </is>
      </c>
      <c r="K4" s="3" t="inlineStr">
        <is>
          <t>Статус</t>
        </is>
      </c>
      <c r="L4" s="3" t="inlineStr">
        <is>
          <t>Дней до дедлайна</t>
        </is>
      </c>
      <c r="M4" s="3" t="inlineStr">
        <is>
          <t>Комментарий</t>
        </is>
      </c>
    </row>
    <row r="5">
      <c r="A5" s="4" t="n">
        <v>1</v>
      </c>
      <c r="B5" s="5" t="inlineStr">
        <is>
          <t>Организационное</t>
        </is>
      </c>
      <c r="C5" s="5" t="inlineStr">
        <is>
          <t>Отправить данные загранпаспорта и реквизиты</t>
        </is>
      </c>
      <c r="D5" s="5" t="inlineStr">
        <is>
          <t>• Скан/фото загранпаспорта
• Банковские реквизиты для оплаты
• Уточнить формат договора (ГПХ) и график оплаты</t>
        </is>
      </c>
      <c r="E5" s="5" t="inlineStr">
        <is>
          <t>Документы у Анастасии, формат оформления согласован</t>
        </is>
      </c>
      <c r="F5" s="5" t="inlineStr">
        <is>
          <t>Маркетолог (я)</t>
        </is>
      </c>
      <c r="G5" s="5" t="inlineStr">
        <is>
          <t>Анастасия</t>
        </is>
      </c>
      <c r="H5" s="4" t="inlineStr">
        <is>
          <t>Высокий</t>
        </is>
      </c>
      <c r="I5" s="6" t="n">
        <v>46321</v>
      </c>
      <c r="J5" s="6" t="n">
        <v>46322</v>
      </c>
      <c r="K5" s="4" t="inlineStr">
        <is>
          <t>Не начато</t>
        </is>
      </c>
      <c r="L5" s="7">
        <f>IF(K5="Готово","",J5-TODAY())</f>
        <v/>
      </c>
      <c r="M5" s="8" t="n"/>
    </row>
    <row r="6">
      <c r="A6" s="4" t="n">
        <v>2</v>
      </c>
      <c r="B6" s="5" t="inlineStr">
        <is>
          <t>Организационное</t>
        </is>
      </c>
      <c r="C6" s="5" t="inlineStr">
        <is>
          <t>Таск-трекер в Excel</t>
        </is>
      </c>
      <c r="D6" s="5" t="inlineStr">
        <is>
          <t>• Зафиксировать задачи по итогам созвона
• Проставить ответственных, дедлайны, статусы
• Обновлять статусы еженедельно (пятница)</t>
        </is>
      </c>
      <c r="E6" s="5" t="inlineStr">
        <is>
          <t>Трекер отправлен команде и обновляется раз в неделю</t>
        </is>
      </c>
      <c r="F6" s="5" t="inlineStr">
        <is>
          <t>Маркетолог (я)</t>
        </is>
      </c>
      <c r="G6" s="5" t="inlineStr">
        <is>
          <t>—</t>
        </is>
      </c>
      <c r="H6" s="4" t="inlineStr">
        <is>
          <t>Высокий</t>
        </is>
      </c>
      <c r="I6" s="6" t="n">
        <v>46321</v>
      </c>
      <c r="J6" s="6" t="n">
        <v>46321</v>
      </c>
      <c r="K6" s="4" t="inlineStr">
        <is>
          <t>Готово</t>
        </is>
      </c>
      <c r="L6" s="7">
        <f>IF(K6="Готово","",J6-TODAY())</f>
        <v/>
      </c>
      <c r="M6" s="8" t="n"/>
    </row>
    <row r="7">
      <c r="A7" s="4" t="n">
        <v>3</v>
      </c>
      <c r="B7" s="5" t="inlineStr">
        <is>
          <t>Организационное</t>
        </is>
      </c>
      <c r="C7" s="5" t="inlineStr">
        <is>
          <t>Создать базу знаний в Notion</t>
        </is>
      </c>
      <c r="D7" s="5" t="inlineStr">
        <is>
          <t>• Структура: компания и команда, услуги и прайс, Hemaya и лицензии, сегменты и конкуренты, маркетинг и контент, продажи (воронка, скрипты, шаблоны КП), онбординг новых сотрудников
• Перенести готовые материалы (выжимки по конкурентам, сегментам, Hemaya, LinkedIn, SEO-аудит, сравнение CRM)
• Выдать доступы команде, договориться, кто что обновляет</t>
        </is>
      </c>
      <c r="E7" s="5" t="inlineStr">
        <is>
          <t>База знаний в Notion, команда пользуется; новый сейл и инженер онбордятся по ней</t>
        </is>
      </c>
      <c r="F7" s="5" t="inlineStr">
        <is>
          <t>Маркетолог (я)</t>
        </is>
      </c>
      <c r="G7" s="5" t="inlineStr">
        <is>
          <t>Анастасия (рабочий аккаунт), вся команда — доступ</t>
        </is>
      </c>
      <c r="H7" s="4" t="inlineStr">
        <is>
          <t>Средний</t>
        </is>
      </c>
      <c r="I7" s="6" t="n">
        <v>46325</v>
      </c>
      <c r="J7" s="6" t="n">
        <v>46339</v>
      </c>
      <c r="K7" s="4" t="inlineStr">
        <is>
          <t>Не начато</t>
        </is>
      </c>
      <c r="L7" s="7">
        <f>IF(K7="Готово","",J7-TODAY())</f>
        <v/>
      </c>
      <c r="M7" s="8" t="n"/>
    </row>
    <row r="8">
      <c r="A8" s="4" t="n">
        <v>4</v>
      </c>
      <c r="B8" s="5" t="inlineStr">
        <is>
          <t>Организационное</t>
        </is>
      </c>
      <c r="C8" s="5" t="inlineStr">
        <is>
          <t>Спецодежда для инженеров и монтажников</t>
        </is>
      </c>
      <c r="D8" s="5" t="inlineStr">
        <is>
          <t>• Уточнить объём задачи: для кого (инженер с 9.11, монтажники), сколько комплектов и что входит (футболки/поло, брюки, кепки, жилеты)
• Требования: лёгкая ткань под жару, светоотражающие элементы для объектов, логотип AURA и контакты
• Макет брендирования
• Запросить 2–3 предложения у поставщиков в ОАЭ (цена, сроки)
• Согласовать и заказать</t>
        </is>
      </c>
      <c r="E8" s="5" t="inlineStr">
        <is>
          <t>Спецодежда заказана, к выходу монтажников команда в брендированной форме</t>
        </is>
      </c>
      <c r="F8" s="5" t="inlineStr">
        <is>
          <t>Маркетолог (я)</t>
        </is>
      </c>
      <c r="G8" s="5" t="inlineStr">
        <is>
          <t>Антон (бюджет, согласование), Игнат (кол-во и размеры)</t>
        </is>
      </c>
      <c r="H8" s="4" t="inlineStr">
        <is>
          <t>Средний</t>
        </is>
      </c>
      <c r="I8" s="6" t="n">
        <v>46325</v>
      </c>
      <c r="J8" s="6" t="n">
        <v>46335</v>
      </c>
      <c r="K8" s="4" t="inlineStr">
        <is>
          <t>Не начато</t>
        </is>
      </c>
      <c r="L8" s="7">
        <f>IF(K8="Готово","",J8-TODAY())</f>
        <v/>
      </c>
      <c r="M8" s="8" t="n"/>
    </row>
    <row r="9">
      <c r="A9" s="4" t="n">
        <v>5</v>
      </c>
      <c r="B9" s="5" t="inlineStr">
        <is>
          <t>Доступы</t>
        </is>
      </c>
      <c r="C9" s="5" t="inlineStr">
        <is>
          <t>Доступ к сайту</t>
        </is>
      </c>
      <c r="D9" s="5" t="inlineStr">
        <is>
          <t>• Админка / CMS или репозиторий сайта (Next.js)
• Хостинг и домен — кто владелец
• Google Analytics 4 и Google Search Console
• Кто вносит правки: я или Роман</t>
        </is>
      </c>
      <c r="E9" s="5" t="inlineStr">
        <is>
          <t>Есть рабочие доступы, понятен порядок внесения правок</t>
        </is>
      </c>
      <c r="F9" s="5" t="inlineStr">
        <is>
          <t>Маркетолог (я)</t>
        </is>
      </c>
      <c r="G9" s="5" t="inlineStr">
        <is>
          <t>Анастасия, Роман</t>
        </is>
      </c>
      <c r="H9" s="4" t="inlineStr">
        <is>
          <t>Высокий</t>
        </is>
      </c>
      <c r="I9" s="6" t="n">
        <v>46321</v>
      </c>
      <c r="J9" s="6" t="n">
        <v>46323</v>
      </c>
      <c r="K9" s="4" t="inlineStr">
        <is>
          <t>Не начато</t>
        </is>
      </c>
      <c r="L9" s="7">
        <f>IF(K9="Готово","",J9-TODAY())</f>
        <v/>
      </c>
      <c r="M9" s="8" t="n"/>
    </row>
    <row r="10">
      <c r="A10" s="4" t="n">
        <v>6</v>
      </c>
      <c r="B10" s="5" t="inlineStr">
        <is>
          <t>Доступы</t>
        </is>
      </c>
      <c r="C10" s="5" t="inlineStr">
        <is>
          <t>Рабочий Google-аккаунт</t>
        </is>
      </c>
      <c r="D10" s="5" t="inlineStr">
        <is>
          <t>• Получить рабочий аккаунт (почта на домене или общий)
• Доступ к общему Google Drive с материалами
• Подключить к GA4, Search Console, будущему Google Business Profile</t>
        </is>
      </c>
      <c r="E10" s="5" t="inlineStr">
        <is>
          <t>Работаю из рабочего аккаунта, все материалы в общей папке</t>
        </is>
      </c>
      <c r="F10" s="5" t="inlineStr">
        <is>
          <t>Маркетолог (я)</t>
        </is>
      </c>
      <c r="G10" s="5" t="inlineStr">
        <is>
          <t>Анастасия / Антон</t>
        </is>
      </c>
      <c r="H10" s="4" t="inlineStr">
        <is>
          <t>Высокий</t>
        </is>
      </c>
      <c r="I10" s="6" t="n">
        <v>46321</v>
      </c>
      <c r="J10" s="6" t="n">
        <v>46323</v>
      </c>
      <c r="K10" s="4" t="inlineStr">
        <is>
          <t>Не начато</t>
        </is>
      </c>
      <c r="L10" s="7">
        <f>IF(K10="Готово","",J10-TODAY())</f>
        <v/>
      </c>
      <c r="M10" s="8" t="n"/>
    </row>
    <row r="11">
      <c r="A11" s="4" t="n">
        <v>7</v>
      </c>
      <c r="B11" s="5" t="inlineStr">
        <is>
          <t>Доступы</t>
        </is>
      </c>
      <c r="C11" s="5" t="inlineStr">
        <is>
          <t>Доступ к Facebook-странице и LinkedIn</t>
        </is>
      </c>
      <c r="D11" s="5" t="inlineStr">
        <is>
          <t>• Роль администратора/редактора страницы Facebook
• Доступ к Meta Business Suite
• Доступ к странице компании в LinkedIn (если есть) и к профилю Антона для публикаций — по согласованию</t>
        </is>
      </c>
      <c r="E11" s="5" t="inlineStr">
        <is>
          <t>Могу публиковать и смотреть статистику в FB и LinkedIn</t>
        </is>
      </c>
      <c r="F11" s="5" t="inlineStr">
        <is>
          <t>Маркетолог (я)</t>
        </is>
      </c>
      <c r="G11" s="5" t="inlineStr">
        <is>
          <t>Анастасия, Антон, Роман</t>
        </is>
      </c>
      <c r="H11" s="4" t="inlineStr">
        <is>
          <t>Высокий</t>
        </is>
      </c>
      <c r="I11" s="6" t="n">
        <v>46321</v>
      </c>
      <c r="J11" s="6" t="n">
        <v>46324</v>
      </c>
      <c r="K11" s="4" t="inlineStr">
        <is>
          <t>Не начато</t>
        </is>
      </c>
      <c r="L11" s="7">
        <f>IF(K11="Готово","",J11-TODAY())</f>
        <v/>
      </c>
      <c r="M11" s="8" t="n"/>
    </row>
    <row r="12">
      <c r="A12" s="4" t="n">
        <v>8</v>
      </c>
      <c r="B12" s="5" t="inlineStr">
        <is>
          <t>Контент</t>
        </is>
      </c>
      <c r="C12" s="5" t="inlineStr">
        <is>
          <t>Получить актуальный контент-план</t>
        </is>
      </c>
      <c r="D12" s="5" t="inlineStr">
        <is>
          <t>• Забрать у Романа текущий контент-план и статус постов (что опубликовано, что в работе)
• Свести с имеющимися материалами: 8 готовых постов RU/EN, 30 идей, сценарии видео Антона
• Определить каналы и частоту</t>
        </is>
      </c>
      <c r="E12" s="5" t="inlineStr">
        <is>
          <t>Единый контент-план с датами публикаций на ноябрь</t>
        </is>
      </c>
      <c r="F12" s="5" t="inlineStr">
        <is>
          <t>Маркетолог (я)</t>
        </is>
      </c>
      <c r="G12" s="5" t="inlineStr">
        <is>
          <t>Роман, Анастасия</t>
        </is>
      </c>
      <c r="H12" s="4" t="inlineStr">
        <is>
          <t>Высокий</t>
        </is>
      </c>
      <c r="I12" s="6" t="n">
        <v>46321</v>
      </c>
      <c r="J12" s="6" t="n">
        <v>46325</v>
      </c>
      <c r="K12" s="4" t="inlineStr">
        <is>
          <t>Не начато</t>
        </is>
      </c>
      <c r="L12" s="7">
        <f>IF(K12="Готово","",J12-TODAY())</f>
        <v/>
      </c>
      <c r="M12" s="8" t="n"/>
    </row>
    <row r="13">
      <c r="A13" s="4" t="n">
        <v>9</v>
      </c>
      <c r="B13" s="5" t="inlineStr">
        <is>
          <t>Презентации</t>
        </is>
      </c>
      <c r="C13" s="5" t="inlineStr">
        <is>
          <t>Собрать текущие презентации и материалы</t>
        </is>
      </c>
      <c r="D13" s="5" t="inlineStr">
        <is>
          <t>• Получить от Романа все презентации, листовки, sales kit с пакетами цен
• Зафиксировать, какие презентации в работе и для кого</t>
        </is>
      </c>
      <c r="E13" s="5" t="inlineStr">
        <is>
          <t>Все материалы в общей папке, понятен статус каждой презентации</t>
        </is>
      </c>
      <c r="F13" s="5" t="inlineStr">
        <is>
          <t>Маркетолог (я)</t>
        </is>
      </c>
      <c r="G13" s="5" t="inlineStr">
        <is>
          <t>Роман, Анастасия</t>
        </is>
      </c>
      <c r="H13" s="4" t="inlineStr">
        <is>
          <t>Высокий</t>
        </is>
      </c>
      <c r="I13" s="6" t="n">
        <v>46321</v>
      </c>
      <c r="J13" s="6" t="n">
        <v>46323</v>
      </c>
      <c r="K13" s="4" t="inlineStr">
        <is>
          <t>Не начато</t>
        </is>
      </c>
      <c r="L13" s="7">
        <f>IF(K13="Готово","",J13-TODAY())</f>
        <v/>
      </c>
      <c r="M13" s="8" t="n"/>
    </row>
    <row r="14">
      <c r="A14" s="4" t="n">
        <v>10</v>
      </c>
      <c r="B14" s="5" t="inlineStr">
        <is>
          <t>Презентации</t>
        </is>
      </c>
      <c r="C14" s="5" t="inlineStr">
        <is>
          <t>Определить список презентаций и ТЗ к ним</t>
        </is>
      </c>
      <c r="D14" s="5" t="inlineStr">
        <is>
          <t>• Согласовать с Антоном, какие презентации нужны в первую очередь (напр. общая B2B, B2C для вилл, AMC/сервис)
• Для каждой: аудитория, цель, структура, что показываем (лицензии, процесс, оборудование, цены)</t>
        </is>
      </c>
      <c r="E14" s="5" t="inlineStr">
        <is>
          <t>Утверждённый список презентаций с ТЗ и приоритетом</t>
        </is>
      </c>
      <c r="F14" s="5" t="inlineStr">
        <is>
          <t>Маркетолог (я)</t>
        </is>
      </c>
      <c r="G14" s="5" t="inlineStr">
        <is>
          <t>Антон</t>
        </is>
      </c>
      <c r="H14" s="4" t="inlineStr">
        <is>
          <t>Высокий</t>
        </is>
      </c>
      <c r="I14" s="6" t="n">
        <v>46323</v>
      </c>
      <c r="J14" s="6" t="n">
        <v>46325</v>
      </c>
      <c r="K14" s="4" t="inlineStr">
        <is>
          <t>Не начато</t>
        </is>
      </c>
      <c r="L14" s="7">
        <f>IF(K14="Готово","",J14-TODAY())</f>
        <v/>
      </c>
      <c r="M14" s="8" t="n"/>
    </row>
    <row r="15">
      <c r="A15" s="4" t="n">
        <v>11</v>
      </c>
      <c r="B15" s="5" t="inlineStr">
        <is>
          <t>Презентации</t>
        </is>
      </c>
      <c r="C15" s="5" t="inlineStr">
        <is>
          <t>Подготовить презентацию №1 (приоритетная)</t>
        </is>
      </c>
      <c r="D15" s="5" t="inlineStr">
        <is>
          <t>• Структура и тексты (EN, при необходимости RU)
• Дизайн в стиле сайта/бренда
• Согласование с Антоном, правки</t>
        </is>
      </c>
      <c r="E15" s="5" t="inlineStr">
        <is>
          <t>Финальная версия PDF + редактируемый исходник</t>
        </is>
      </c>
      <c r="F15" s="5" t="inlineStr">
        <is>
          <t>Маркетолог (я)</t>
        </is>
      </c>
      <c r="G15" s="5" t="inlineStr">
        <is>
          <t>Антон (согласование), Роман (дизайн — при необходимости)</t>
        </is>
      </c>
      <c r="H15" s="4" t="inlineStr">
        <is>
          <t>Высокий</t>
        </is>
      </c>
      <c r="I15" s="6" t="n">
        <v>46325</v>
      </c>
      <c r="J15" s="6" t="n">
        <v>46331</v>
      </c>
      <c r="K15" s="4" t="inlineStr">
        <is>
          <t>Не начато</t>
        </is>
      </c>
      <c r="L15" s="7">
        <f>IF(K15="Готово","",J15-TODAY())</f>
        <v/>
      </c>
      <c r="M15" s="8" t="n"/>
    </row>
    <row r="16">
      <c r="A16" s="4" t="n">
        <v>12</v>
      </c>
      <c r="B16" s="5" t="inlineStr">
        <is>
          <t>Презентации</t>
        </is>
      </c>
      <c r="C16" s="5" t="inlineStr">
        <is>
          <t>Подготовить презентацию №2</t>
        </is>
      </c>
      <c r="D16" s="5" t="inlineStr">
        <is>
          <t>• По тому же процессу, что №1</t>
        </is>
      </c>
      <c r="E16" s="5" t="inlineStr">
        <is>
          <t>Финальная версия PDF + исходник</t>
        </is>
      </c>
      <c r="F16" s="5" t="inlineStr">
        <is>
          <t>Маркетолог (я)</t>
        </is>
      </c>
      <c r="G16" s="5" t="inlineStr">
        <is>
          <t>Антон</t>
        </is>
      </c>
      <c r="H16" s="4" t="inlineStr">
        <is>
          <t>Средний</t>
        </is>
      </c>
      <c r="I16" s="6" t="n">
        <v>46331</v>
      </c>
      <c r="J16" s="6" t="n">
        <v>46338</v>
      </c>
      <c r="K16" s="4" t="inlineStr">
        <is>
          <t>Не начато</t>
        </is>
      </c>
      <c r="L16" s="7">
        <f>IF(K16="Готово","",J16-TODAY())</f>
        <v/>
      </c>
      <c r="M16" s="8" t="n"/>
    </row>
    <row r="17">
      <c r="A17" s="4" t="n">
        <v>13</v>
      </c>
      <c r="B17" s="5" t="inlineStr">
        <is>
          <t>CRM</t>
        </is>
      </c>
      <c r="C17" s="5" t="inlineStr">
        <is>
          <t>Сформулировать требования к CRM</t>
        </is>
      </c>
      <c r="D17" s="5" t="inlineStr">
        <is>
          <t>• Простая, недорогая, с мобильным приложением
• Интеграция с WhatsApp (основной канал заявок) и формой сайта
• Воронки для B2B и B2C, задачи и напоминания сейлу
• Кто пользуется: Антон, сейл, Игнат/инженер</t>
        </is>
      </c>
      <c r="E17" s="5" t="inlineStr">
        <is>
          <t>Список требований, согласованный с Антоном</t>
        </is>
      </c>
      <c r="F17" s="5" t="inlineStr">
        <is>
          <t>Маркетолог (я)</t>
        </is>
      </c>
      <c r="G17" s="5" t="inlineStr">
        <is>
          <t>Антон, Анастасия</t>
        </is>
      </c>
      <c r="H17" s="4" t="inlineStr">
        <is>
          <t>Высокий</t>
        </is>
      </c>
      <c r="I17" s="6" t="n">
        <v>46322</v>
      </c>
      <c r="J17" s="6" t="n">
        <v>46325</v>
      </c>
      <c r="K17" s="4" t="inlineStr">
        <is>
          <t>Не начато</t>
        </is>
      </c>
      <c r="L17" s="7">
        <f>IF(K17="Готово","",J17-TODAY())</f>
        <v/>
      </c>
      <c r="M17" s="8" t="n"/>
    </row>
    <row r="18">
      <c r="A18" s="4" t="n">
        <v>14</v>
      </c>
      <c r="B18" s="5" t="inlineStr">
        <is>
          <t>CRM</t>
        </is>
      </c>
      <c r="C18" s="5" t="inlineStr">
        <is>
          <t>Сравнить варианты и выбрать CRM</t>
        </is>
      </c>
      <c r="D18" s="5" t="inlineStr">
        <is>
          <t>• Сравнить 3–4 простые CRM (напр. Kommo, Bitrix24, Pipedrive, Zoho Bigin, HubSpot Free): цена, WhatsApp, удобство
• Короткая таблица сравнения + рекомендация</t>
        </is>
      </c>
      <c r="E18" s="5" t="inlineStr">
        <is>
          <t>Выбрана CRM, понятна стоимость</t>
        </is>
      </c>
      <c r="F18" s="5" t="inlineStr">
        <is>
          <t>Маркетолог (я)</t>
        </is>
      </c>
      <c r="G18" s="5" t="inlineStr">
        <is>
          <t>Антон (решение)</t>
        </is>
      </c>
      <c r="H18" s="4" t="inlineStr">
        <is>
          <t>Высокий</t>
        </is>
      </c>
      <c r="I18" s="6" t="n">
        <v>46325</v>
      </c>
      <c r="J18" s="6" t="n">
        <v>46330</v>
      </c>
      <c r="K18" s="4" t="inlineStr">
        <is>
          <t>Не начато</t>
        </is>
      </c>
      <c r="L18" s="7">
        <f>IF(K18="Готово","",J18-TODAY())</f>
        <v/>
      </c>
      <c r="M18" s="8" t="n"/>
    </row>
    <row r="19">
      <c r="A19" s="4" t="n">
        <v>15</v>
      </c>
      <c r="B19" s="5" t="inlineStr">
        <is>
          <t>CRM</t>
        </is>
      </c>
      <c r="C19" s="5" t="inlineStr">
        <is>
          <t>Настроить CRM</t>
        </is>
      </c>
      <c r="D19" s="5" t="inlineStr">
        <is>
          <t>• Завести воронки (из задачи «Воронка»), поля, источники лидов
• Подключить WhatsApp и форму сайта
• Короткая инструкция для команды</t>
        </is>
      </c>
      <c r="E19" s="5" t="inlineStr">
        <is>
          <t>CRM работает, тестовый лид проходит путь от заявки до сделки</t>
        </is>
      </c>
      <c r="F19" s="5" t="inlineStr">
        <is>
          <t>Маркетолог (я)</t>
        </is>
      </c>
      <c r="G19" s="5" t="inlineStr">
        <is>
          <t>Антон</t>
        </is>
      </c>
      <c r="H19" s="4" t="inlineStr">
        <is>
          <t>Высокий</t>
        </is>
      </c>
      <c r="I19" s="6" t="n">
        <v>46335</v>
      </c>
      <c r="J19" s="6" t="n">
        <v>46339</v>
      </c>
      <c r="K19" s="4" t="inlineStr">
        <is>
          <t>Не начато</t>
        </is>
      </c>
      <c r="L19" s="7">
        <f>IF(K19="Готово","",J19-TODAY())</f>
        <v/>
      </c>
      <c r="M19" s="8" t="n"/>
    </row>
    <row r="20">
      <c r="A20" s="4" t="n">
        <v>16</v>
      </c>
      <c r="B20" s="5" t="inlineStr">
        <is>
          <t>Продажи</t>
        </is>
      </c>
      <c r="C20" s="5" t="inlineStr">
        <is>
          <t>Описать воронку для мелких B2B и B2C</t>
        </is>
      </c>
      <c r="D20" s="5" t="inlineStr">
        <is>
          <t>• Этапы: заявка → квалификация → аудит/выезд → КП → сделка → монтаж → сервис/AMC
• Критерии квалификации лида и порог, после которого сделку ведёт Антон
• Сроки реакции на каждом этапе, шаблоны сообщений WhatsApp
• Отдельно для B2C (виллы) и малого B2B</t>
        </is>
      </c>
      <c r="E20" s="5" t="inlineStr">
        <is>
          <t>Документ с воронкой, согласованный с Антоном и Игнатом; основа для настройки CRM</t>
        </is>
      </c>
      <c r="F20" s="5" t="inlineStr">
        <is>
          <t>Маркетолог (я)</t>
        </is>
      </c>
      <c r="G20" s="5" t="inlineStr">
        <is>
          <t>Антон, Игнат</t>
        </is>
      </c>
      <c r="H20" s="4" t="inlineStr">
        <is>
          <t>Высокий</t>
        </is>
      </c>
      <c r="I20" s="6" t="n">
        <v>46324</v>
      </c>
      <c r="J20" s="6" t="n">
        <v>46332</v>
      </c>
      <c r="K20" s="4" t="inlineStr">
        <is>
          <t>Не начато</t>
        </is>
      </c>
      <c r="L20" s="7">
        <f>IF(K20="Готово","",J20-TODAY())</f>
        <v/>
      </c>
      <c r="M20" s="8" t="n"/>
    </row>
    <row r="21">
      <c r="A21" s="4" t="n">
        <v>17</v>
      </c>
      <c r="B21" s="5" t="inlineStr">
        <is>
          <t>Продажи</t>
        </is>
      </c>
      <c r="C21" s="5" t="inlineStr">
        <is>
          <t>Прописать критерии поиска сейла</t>
        </is>
      </c>
      <c r="D21" s="5" t="inlineStr">
        <is>
          <t>• Профиль: опыт продаж в ОАЭ (security/ELV/стройка), языки EN (+AR/RU плюс)
• Обязанности: входящие лиды, мелкие B2B и B2C, ведение CRM
• KPI и мотивация (фикс + %), формат (ГПХ), график
• Где искать: LinkedIn, Bayt, Dubizzle, рекомендации</t>
        </is>
      </c>
      <c r="E21" s="5" t="inlineStr">
        <is>
          <t>Портрет кандидата + текст вакансии, согласованные с Антоном</t>
        </is>
      </c>
      <c r="F21" s="5" t="inlineStr">
        <is>
          <t>Маркетолог (я)</t>
        </is>
      </c>
      <c r="G21" s="5" t="inlineStr">
        <is>
          <t>Антон, Анастасия</t>
        </is>
      </c>
      <c r="H21" s="4" t="inlineStr">
        <is>
          <t>Высокий</t>
        </is>
      </c>
      <c r="I21" s="6" t="n">
        <v>46322</v>
      </c>
      <c r="J21" s="6" t="n">
        <v>46326</v>
      </c>
      <c r="K21" s="4" t="inlineStr">
        <is>
          <t>Не начато</t>
        </is>
      </c>
      <c r="L21" s="7">
        <f>IF(K21="Готово","",J21-TODAY())</f>
        <v/>
      </c>
      <c r="M21" s="8" t="n"/>
    </row>
    <row r="22">
      <c r="A22" s="4" t="n">
        <v>18</v>
      </c>
      <c r="B22" s="5" t="inlineStr">
        <is>
          <t>LinkedIn</t>
        </is>
      </c>
      <c r="C22" s="5" t="inlineStr">
        <is>
          <t>Стратегия LinkedIn</t>
        </is>
      </c>
      <c r="D22" s="5" t="inlineStr">
        <is>
          <t>• Что ведём: страница компании и/или личный профиль Антона
• Аудит профиля Антона, правки шапки и описания
• Рубрики и частота (на основе ролей «Визионер / Практик / Строитель»)
• Аутрич к ЛПР приоритетных сегментов (девелоперы, УК/HOA, RAKEZ)
• Метрики</t>
        </is>
      </c>
      <c r="E22" s="5" t="inlineStr">
        <is>
          <t>Документ стратегии + контент-план LinkedIn на ноябрь</t>
        </is>
      </c>
      <c r="F22" s="5" t="inlineStr">
        <is>
          <t>Маркетолог (я)</t>
        </is>
      </c>
      <c r="G22" s="5" t="inlineStr">
        <is>
          <t>Антон</t>
        </is>
      </c>
      <c r="H22" s="4" t="inlineStr">
        <is>
          <t>Высокий</t>
        </is>
      </c>
      <c r="I22" s="6" t="n">
        <v>46325</v>
      </c>
      <c r="J22" s="6" t="n">
        <v>46333</v>
      </c>
      <c r="K22" s="4" t="inlineStr">
        <is>
          <t>Не начато</t>
        </is>
      </c>
      <c r="L22" s="7">
        <f>IF(K22="Готово","",J22-TODAY())</f>
        <v/>
      </c>
      <c r="M22" s="8" t="n"/>
    </row>
    <row r="23">
      <c r="A23" s="4" t="n">
        <v>19</v>
      </c>
      <c r="B23" s="5" t="inlineStr">
        <is>
          <t>LinkedIn</t>
        </is>
      </c>
      <c r="C23" s="5" t="inlineStr">
        <is>
          <t>Настроить кросспостинг LinkedIn → Facebook</t>
        </is>
      </c>
      <c r="D23" s="5" t="inlineStr">
        <is>
          <t>• Выбрать способ (Meta Business Suite / Buffer или аналог / вручную)
• Адаптировать формат постов под FB
• Проверить на 2–3 публикациях</t>
        </is>
      </c>
      <c r="E23" s="5" t="inlineStr">
        <is>
          <t>Посты из LinkedIn регулярно выходят в Facebook</t>
        </is>
      </c>
      <c r="F23" s="5" t="inlineStr">
        <is>
          <t>Маркетолог (я)</t>
        </is>
      </c>
      <c r="G23" s="5" t="inlineStr">
        <is>
          <t>Доступы к FB и LinkedIn</t>
        </is>
      </c>
      <c r="H23" s="4" t="inlineStr">
        <is>
          <t>Средний</t>
        </is>
      </c>
      <c r="I23" s="6" t="n">
        <v>46333</v>
      </c>
      <c r="J23" s="6" t="n">
        <v>46337</v>
      </c>
      <c r="K23" s="4" t="inlineStr">
        <is>
          <t>Не начато</t>
        </is>
      </c>
      <c r="L23" s="7">
        <f>IF(K23="Готово","",J23-TODAY())</f>
        <v/>
      </c>
      <c r="M23" s="8" t="n"/>
    </row>
    <row r="24">
      <c r="A24" s="4" t="n">
        <v>20</v>
      </c>
      <c r="B24" s="5" t="inlineStr">
        <is>
          <t>Лидогенерация</t>
        </is>
      </c>
      <c r="C24" s="5" t="inlineStr">
        <is>
          <t>Добавить организацию в Google Maps (Google Business Profile)</t>
        </is>
      </c>
      <c r="D24" s="5" t="inlineStr">
        <is>
          <t>• Создать профиль с рабочего Google-аккаунта: название «AURA Reinvent Security Systems», категории (CCTV / security system installer), адрес RAKEZ Compass Building, Al Hamra Industrial Zone-FZ, телефон/WhatsApp, сайт, часы работы, зона обслуживания (RAK и Северные эмираты)
• Пройти верификацию Google (видео / открытка — сроки зависят от Google)
• Добавить услуги, описание, фото (команда, объекты, логотип)
• Ссылку на профиль — на сайт и в соцсети
• Запустить сбор отзывов после каждого объекта</t>
        </is>
      </c>
      <c r="E24" s="5" t="inlineStr">
        <is>
          <t>Профиль подтверждён и виден в Google Maps по запросам «CCTV Ras Al Khaimah», появились первые отзывы</t>
        </is>
      </c>
      <c r="F24" s="5" t="inlineStr">
        <is>
          <t>Маркетолог (я)</t>
        </is>
      </c>
      <c r="G24" s="5" t="inlineStr">
        <is>
          <t>Рабочий Google-аккаунт, Антон (адрес, часы, фото)</t>
        </is>
      </c>
      <c r="H24" s="4" t="inlineStr">
        <is>
          <t>Высокий</t>
        </is>
      </c>
      <c r="I24" s="6" t="n">
        <v>46325</v>
      </c>
      <c r="J24" s="6" t="n">
        <v>46333</v>
      </c>
      <c r="K24" s="4" t="inlineStr">
        <is>
          <t>Не начато</t>
        </is>
      </c>
      <c r="L24" s="7">
        <f>IF(K24="Готово","",J24-TODAY())</f>
        <v/>
      </c>
      <c r="M24" s="8" t="n"/>
    </row>
    <row r="25">
      <c r="A25" s="4" t="n">
        <v>21</v>
      </c>
      <c r="B25" s="5" t="inlineStr">
        <is>
          <t>Лидогенерация</t>
        </is>
      </c>
      <c r="C25" s="5" t="inlineStr">
        <is>
          <t>Подготовка к лидогенерации</t>
        </is>
      </c>
      <c r="D25" s="5" t="inlineStr">
        <is>
          <t>• Цели в GA4: клики в WhatsApp, отправка формы
• UTM-метки для всех каналов
• Посадочная под бесплатный аудит — проверить и улучшить
• База ЛПР приоритетных сегментов для аутрича
• Лицензии на сайт (страница /licenses) — запросить у Антона</t>
        </is>
      </c>
      <c r="E25" s="5" t="inlineStr">
        <is>
          <t>Каналы готовы к запуску, заявки отслеживаются и попадают в CRM</t>
        </is>
      </c>
      <c r="F25" s="5" t="inlineStr">
        <is>
          <t>Маркетолог (я)</t>
        </is>
      </c>
      <c r="G25" s="5" t="inlineStr">
        <is>
          <t>Антон, доступ к сайту и Google</t>
        </is>
      </c>
      <c r="H25" s="4" t="inlineStr">
        <is>
          <t>Высокий</t>
        </is>
      </c>
      <c r="I25" s="6" t="n">
        <v>46335</v>
      </c>
      <c r="J25" s="6" t="n">
        <v>46346</v>
      </c>
      <c r="K25" s="4" t="inlineStr">
        <is>
          <t>Не начато</t>
        </is>
      </c>
      <c r="L25" s="7">
        <f>IF(K25="Готово","",J25-TODAY())</f>
        <v/>
      </c>
      <c r="M25" s="8" t="n"/>
    </row>
    <row r="26">
      <c r="A26" s="4" t="n">
        <v>22</v>
      </c>
      <c r="B26" s="5" t="inlineStr">
        <is>
          <t>Лидогенерация</t>
        </is>
      </c>
      <c r="C26" s="5" t="inlineStr">
        <is>
          <t>Запуск лидогенерации</t>
        </is>
      </c>
      <c r="D26" s="5" t="inlineStr">
        <is>
          <t>• Старт публикаций и аутрича по плану
• Еженедельный отчёт: лиды, источники, конверсия</t>
        </is>
      </c>
      <c r="E26" s="5" t="inlineStr">
        <is>
          <t>Первые лиды в CRM, еженедельный отчёт</t>
        </is>
      </c>
      <c r="F26" s="5" t="inlineStr">
        <is>
          <t>Маркетолог (я)</t>
        </is>
      </c>
      <c r="G26" s="5" t="inlineStr">
        <is>
          <t>Сейл (если нанят), Антон</t>
        </is>
      </c>
      <c r="H26" s="4" t="inlineStr">
        <is>
          <t>Высокий</t>
        </is>
      </c>
      <c r="I26" s="6" t="n">
        <v>46342</v>
      </c>
      <c r="J26" s="6" t="n">
        <v>46356</v>
      </c>
      <c r="K26" s="4" t="inlineStr">
        <is>
          <t>Не начато</t>
        </is>
      </c>
      <c r="L26" s="7">
        <f>IF(K26="Готово","",J26-TODAY())</f>
        <v/>
      </c>
      <c r="M26" s="8" t="n"/>
    </row>
  </sheetData>
  <autoFilter ref="A4:M26"/>
  <conditionalFormatting sqref="A5:M26">
    <cfRule type="expression" priority="1" dxfId="0" stopIfTrue="1">
      <formula>$K5="Готово"</formula>
    </cfRule>
    <cfRule type="expression" priority="2" dxfId="1">
      <formula>AND($K5&lt;&gt;"Готово",$K5&lt;&gt;"Отменено",$J5&lt;TODAY())</formula>
    </cfRule>
  </conditionalFormatting>
  <conditionalFormatting sqref="K5:K26">
    <cfRule type="cellIs" priority="3" operator="equal" dxfId="2">
      <formula>"В работе"</formula>
    </cfRule>
    <cfRule type="cellIs" priority="4" operator="equal" dxfId="3">
      <formula>"Ждёт доступа"</formula>
    </cfRule>
  </conditionalFormatting>
  <conditionalFormatting sqref="H5:H26">
    <cfRule type="cellIs" priority="5" operator="equal" dxfId="4">
      <formula>"Высокий"</formula>
    </cfRule>
  </conditionalFormatting>
  <dataValidations count="2">
    <dataValidation sqref="K5:K26" showDropDown="0" showInputMessage="0" showErrorMessage="0" allowBlank="1" type="list">
      <formula1>"Не начато,В работе,На согласовании,Ждёт доступа,Готово,Отменено"</formula1>
    </dataValidation>
    <dataValidation sqref="H5:H26" showDropDown="0" showInputMessage="0" showErrorMessage="0" allowBlank="1" type="list">
      <formula1>"Высокий,Средний,Низкий"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</cols>
  <sheetData>
    <row r="1">
      <c r="A1" s="9" t="inlineStr">
        <is>
          <t>Сводка по статусам</t>
        </is>
      </c>
    </row>
    <row r="3">
      <c r="A3" s="10" t="inlineStr">
        <is>
          <t>Статус</t>
        </is>
      </c>
      <c r="B3" s="10" t="inlineStr">
        <is>
          <t>Задач</t>
        </is>
      </c>
    </row>
    <row r="4">
      <c r="A4" t="inlineStr">
        <is>
          <t>Не начато</t>
        </is>
      </c>
      <c r="B4">
        <f>COUNTIF(Задачи!$K$5:$K$26,A4)</f>
        <v/>
      </c>
    </row>
    <row r="5">
      <c r="A5" t="inlineStr">
        <is>
          <t>В работе</t>
        </is>
      </c>
      <c r="B5">
        <f>COUNTIF(Задачи!$K$5:$K$26,A5)</f>
        <v/>
      </c>
    </row>
    <row r="6">
      <c r="A6" t="inlineStr">
        <is>
          <t>На согласовании</t>
        </is>
      </c>
      <c r="B6">
        <f>COUNTIF(Задачи!$K$5:$K$26,A6)</f>
        <v/>
      </c>
    </row>
    <row r="7">
      <c r="A7" t="inlineStr">
        <is>
          <t>Ждёт доступа</t>
        </is>
      </c>
      <c r="B7">
        <f>COUNTIF(Задачи!$K$5:$K$26,A7)</f>
        <v/>
      </c>
    </row>
    <row r="8">
      <c r="A8" t="inlineStr">
        <is>
          <t>Готово</t>
        </is>
      </c>
      <c r="B8">
        <f>COUNTIF(Задачи!$K$5:$K$26,A8)</f>
        <v/>
      </c>
    </row>
    <row r="9">
      <c r="A9" t="inlineStr">
        <is>
          <t>Отменено</t>
        </is>
      </c>
      <c r="B9">
        <f>COUNTIF(Задачи!$K$5:$K$26,A9)</f>
        <v/>
      </c>
    </row>
    <row r="10">
      <c r="A10" s="10" t="inlineStr">
        <is>
          <t>Всего</t>
        </is>
      </c>
      <c r="B10">
        <f>COUNTA(Задачи!$C$5:$C$26)</f>
        <v/>
      </c>
    </row>
    <row r="11">
      <c r="A11" s="11" t="inlineStr">
        <is>
          <t>Просрочено</t>
        </is>
      </c>
      <c r="B11">
        <f>COUNTIFS(Задачи!$J$5:$J$26,"&lt;"&amp;TODAY(),Задачи!$K$5:$K$26,"&lt;&gt;Готово",Задачи!$K$5:$K$26,"&lt;&gt;Отменено")</f>
        <v/>
      </c>
    </row>
    <row r="13">
      <c r="A13" s="10" t="inlineStr">
        <is>
          <t>Ключевые вехи</t>
        </is>
      </c>
    </row>
    <row r="14">
      <c r="A14" t="inlineStr">
        <is>
          <t>28.10</t>
        </is>
      </c>
      <c r="B14" t="inlineStr">
        <is>
          <t>Все доступы получены (сайт, Google, FB/LinkedIn)</t>
        </is>
      </c>
    </row>
    <row r="15">
      <c r="A15" t="inlineStr">
        <is>
          <t>31.10</t>
        </is>
      </c>
      <c r="B15" t="inlineStr">
        <is>
          <t>Критерии сейла и требования к CRM готовы</t>
        </is>
      </c>
    </row>
    <row r="16">
      <c r="A16" t="inlineStr">
        <is>
          <t>05.11</t>
        </is>
      </c>
      <c r="B16" t="inlineStr">
        <is>
          <t>Презентация №1 готова</t>
        </is>
      </c>
    </row>
    <row r="17">
      <c r="A17" t="inlineStr">
        <is>
          <t>06–07.11</t>
        </is>
      </c>
      <c r="B17" t="inlineStr">
        <is>
          <t>Воронка B2B/B2C и стратегия LinkedIn</t>
        </is>
      </c>
    </row>
    <row r="18">
      <c r="A18" t="inlineStr">
        <is>
          <t>07.11</t>
        </is>
      </c>
      <c r="B18" t="inlineStr">
        <is>
          <t>Профиль в Google Maps создан и отправлен на верификацию</t>
        </is>
      </c>
    </row>
    <row r="19">
      <c r="A19" t="inlineStr">
        <is>
          <t>09.11</t>
        </is>
      </c>
      <c r="B19" t="inlineStr">
        <is>
          <t>Спецодежда заказана</t>
        </is>
      </c>
    </row>
    <row r="20">
      <c r="A20" t="inlineStr">
        <is>
          <t>13.11</t>
        </is>
      </c>
      <c r="B20" t="inlineStr">
        <is>
          <t>CRM настроена, база знаний в Notion готова</t>
        </is>
      </c>
    </row>
    <row r="21">
      <c r="A21" t="inlineStr">
        <is>
          <t>16–30.11</t>
        </is>
      </c>
      <c r="B21" t="inlineStr">
        <is>
          <t>Запуск лидогенерации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2026-10-30T05:45:51Z</dcterms:created>
  <dcterms:modified xmlns:dcterms="http://purl.org/dc/terms/" xmlns:xsi="http://www.w3.org/2001/XMLSchema-instance" xsi:type="dcterms:W3CDTF">2026-10-30T05:45:51Z</dcterms:modified>
</cp:coreProperties>
</file>